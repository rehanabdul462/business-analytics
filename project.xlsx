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3cfa7ee277c16f81/Desktop/"/>
    </mc:Choice>
  </mc:AlternateContent>
  <xr:revisionPtr revIDLastSave="695" documentId="8_{58A84388-E478-403B-A448-488F8CB5F6D6}" xr6:coauthVersionLast="47" xr6:coauthVersionMax="47" xr10:uidLastSave="{837BC353-94CA-4307-9B31-2362B70B1441}"/>
  <bookViews>
    <workbookView xWindow="-108" yWindow="-108" windowWidth="23256" windowHeight="12456" tabRatio="920" activeTab="4" xr2:uid="{00000000-000D-0000-FFFF-FFFF00000000}"/>
  </bookViews>
  <sheets>
    <sheet name="Profit" sheetId="14" r:id="rId1"/>
    <sheet name="Avg Profit " sheetId="15" r:id="rId2"/>
    <sheet name="Avg Camp" sheetId="16" r:id="rId3"/>
    <sheet name="Overall Success" sheetId="17" r:id="rId4"/>
    <sheet name="Dashboard" sheetId="18" r:id="rId5"/>
    <sheet name="Data" sheetId="1" r:id="rId6"/>
  </sheets>
  <definedNames>
    <definedName name="Slicer_Product_Sold">#N/A</definedName>
    <definedName name="Slicer_Profit__in">#N/A</definedName>
  </definedNames>
  <calcPr calcId="191029"/>
  <pivotCaches>
    <pivotCache cacheId="12" r:id="rId7"/>
    <pivotCache cacheId="1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2" i="1"/>
</calcChain>
</file>

<file path=xl/sharedStrings.xml><?xml version="1.0" encoding="utf-8"?>
<sst xmlns="http://schemas.openxmlformats.org/spreadsheetml/2006/main" count="48" uniqueCount="22">
  <si>
    <t>State</t>
  </si>
  <si>
    <t>R&amp;D Amount (in $)</t>
  </si>
  <si>
    <t>Marketing Amount (in $)</t>
  </si>
  <si>
    <t>Campaigns (Count)</t>
  </si>
  <si>
    <t>Profit (in $)</t>
  </si>
  <si>
    <t>Employee Count</t>
  </si>
  <si>
    <t>Alabama</t>
  </si>
  <si>
    <t>Alaska</t>
  </si>
  <si>
    <t>Arizona</t>
  </si>
  <si>
    <t>Arkansas</t>
  </si>
  <si>
    <t>California</t>
  </si>
  <si>
    <t>Total Products</t>
  </si>
  <si>
    <t>Product Sold</t>
  </si>
  <si>
    <t>Grand Total</t>
  </si>
  <si>
    <t>Row Labels</t>
  </si>
  <si>
    <t>Sum of Profit (in $)</t>
  </si>
  <si>
    <t>Sum of Product Sold</t>
  </si>
  <si>
    <t>Sum of R&amp;D Amount (in $)</t>
  </si>
  <si>
    <t>Sum of Marketing Amount (in $)</t>
  </si>
  <si>
    <t>Success Rate</t>
  </si>
  <si>
    <t>Count of Campaigns (Count)</t>
  </si>
  <si>
    <t>Sum of Success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</si>
</sst>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5"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indexed="64"/>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applyAlignment="1">
      <alignment horizontal="center" vertical="top"/>
    </xf>
    <xf numFmtId="0" fontId="1" fillId="2" borderId="3" xfId="0" applyFont="1" applyFill="1" applyBorder="1" applyAlignment="1">
      <alignment horizontal="center" vertical="top"/>
    </xf>
    <xf numFmtId="0" fontId="1" fillId="2" borderId="2" xfId="0" applyFont="1" applyFill="1" applyBorder="1" applyAlignment="1">
      <alignment horizontal="center" vertical="top"/>
    </xf>
    <xf numFmtId="0" fontId="0" fillId="3" borderId="0" xfId="0" applyFill="1"/>
    <xf numFmtId="0" fontId="0" fillId="0" borderId="0" xfId="0" applyNumberForma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[project.xlsx]Profit!PivotTable1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Profit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Profit!$B$3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Profit!$A$4:$A$9</c:f>
              <c:strCache>
                <c:ptCount val="5"/>
                <c:pt idx="0">
                  <c:v>Alabama</c:v>
                </c:pt>
                <c:pt idx="1">
                  <c:v>Alaska</c:v>
                </c:pt>
                <c:pt idx="2">
                  <c:v>Arizona</c:v>
                </c:pt>
                <c:pt idx="3">
                  <c:v>Arkansas</c:v>
                </c:pt>
                <c:pt idx="4">
                  <c:v>California</c:v>
                </c:pt>
              </c:strCache>
            </c:strRef>
          </c:cat>
          <c:val>
            <c:numRef>
              <c:f>Profit!$B$4:$B$9</c:f>
              <c:numCache>
                <c:formatCode>_-[$$-409]* #,##0.00_ ;_-[$$-409]* \-#,##0.00\ ;_-[$$-409]* "-"??_ ;_-@_ </c:formatCode>
                <c:ptCount val="5"/>
                <c:pt idx="0">
                  <c:v>47036</c:v>
                </c:pt>
                <c:pt idx="1">
                  <c:v>42541</c:v>
                </c:pt>
                <c:pt idx="2">
                  <c:v>43087</c:v>
                </c:pt>
                <c:pt idx="3">
                  <c:v>46504</c:v>
                </c:pt>
                <c:pt idx="4">
                  <c:v>60994</c:v>
                </c:pt>
              </c:numCache>
            </c:numRef>
          </c:val>
          <c:extLst>
            <c:ext xmlns:c16="http://schemas.microsoft.com/office/drawing/2014/chart" uri="{C3380CC4-5D6E-409C-BE32-E72D297353CC}">
              <c16:uniqueId val="{00000000-1390-4382-9CE7-17E5223949BA}"/>
            </c:ext>
          </c:extLst>
        </c:ser>
        <c:dLbls>
          <c:dLblPos val="ctr"/>
          <c:showLegendKey val="0"/>
          <c:showVal val="1"/>
          <c:showCatName val="0"/>
          <c:showSerName val="0"/>
          <c:showPercent val="0"/>
          <c:showBubbleSize val="0"/>
        </c:dLbls>
        <c:gapWidth val="150"/>
        <c:overlap val="100"/>
        <c:axId val="42224703"/>
        <c:axId val="28632159"/>
      </c:barChart>
      <c:catAx>
        <c:axId val="42224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632159"/>
        <c:crosses val="autoZero"/>
        <c:auto val="1"/>
        <c:lblAlgn val="ctr"/>
        <c:lblOffset val="100"/>
        <c:noMultiLvlLbl val="0"/>
      </c:catAx>
      <c:valAx>
        <c:axId val="28632159"/>
        <c:scaling>
          <c:orientation val="minMax"/>
        </c:scaling>
        <c:delete val="0"/>
        <c:axPos val="b"/>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224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[project.xlsx]Avg Profit !PivotTable2</c:name>
    <c:fmtId val="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56479944482608"/>
          <c:y val="0.20616186624091759"/>
          <c:w val="0.35150558403346882"/>
          <c:h val="0.5442041489472319"/>
        </c:manualLayout>
      </c:layout>
      <c:barChart>
        <c:barDir val="col"/>
        <c:grouping val="clustered"/>
        <c:varyColors val="0"/>
        <c:ser>
          <c:idx val="0"/>
          <c:order val="0"/>
          <c:tx>
            <c:strRef>
              <c:f>'Avg Profit '!$B$3</c:f>
              <c:strCache>
                <c:ptCount val="1"/>
                <c:pt idx="0">
                  <c:v>Sum of R&amp;D Amount (in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'Avg Profit '!$A$4:$A$9</c:f>
              <c:strCache>
                <c:ptCount val="5"/>
                <c:pt idx="0">
                  <c:v>Alabama</c:v>
                </c:pt>
                <c:pt idx="1">
                  <c:v>Alaska</c:v>
                </c:pt>
                <c:pt idx="2">
                  <c:v>Arizona</c:v>
                </c:pt>
                <c:pt idx="3">
                  <c:v>Arkansas</c:v>
                </c:pt>
                <c:pt idx="4">
                  <c:v>California</c:v>
                </c:pt>
              </c:strCache>
            </c:strRef>
          </c:cat>
          <c:val>
            <c:numRef>
              <c:f>'Avg Profit '!$B$4:$B$9</c:f>
              <c:numCache>
                <c:formatCode>_-[$$-409]* #,##0.00_ ;_-[$$-409]* \-#,##0.00\ ;_-[$$-409]* "-"??_ ;_-@_ </c:formatCode>
                <c:ptCount val="5"/>
                <c:pt idx="0">
                  <c:v>167684</c:v>
                </c:pt>
                <c:pt idx="1">
                  <c:v>180067</c:v>
                </c:pt>
                <c:pt idx="2">
                  <c:v>105431</c:v>
                </c:pt>
                <c:pt idx="3">
                  <c:v>171035</c:v>
                </c:pt>
                <c:pt idx="4">
                  <c:v>121645</c:v>
                </c:pt>
              </c:numCache>
            </c:numRef>
          </c:val>
          <c:extLst>
            <c:ext xmlns:c16="http://schemas.microsoft.com/office/drawing/2014/chart" uri="{C3380CC4-5D6E-409C-BE32-E72D297353CC}">
              <c16:uniqueId val="{00000000-65B8-49FE-B6D2-C5AABB01A0EF}"/>
            </c:ext>
          </c:extLst>
        </c:ser>
        <c:ser>
          <c:idx val="1"/>
          <c:order val="1"/>
          <c:tx>
            <c:strRef>
              <c:f>'Avg Profit '!$C$3</c:f>
              <c:strCache>
                <c:ptCount val="1"/>
                <c:pt idx="0">
                  <c:v>Sum of Marketing Amount (in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'Avg Profit '!$A$4:$A$9</c:f>
              <c:strCache>
                <c:ptCount val="5"/>
                <c:pt idx="0">
                  <c:v>Alabama</c:v>
                </c:pt>
                <c:pt idx="1">
                  <c:v>Alaska</c:v>
                </c:pt>
                <c:pt idx="2">
                  <c:v>Arizona</c:v>
                </c:pt>
                <c:pt idx="3">
                  <c:v>Arkansas</c:v>
                </c:pt>
                <c:pt idx="4">
                  <c:v>California</c:v>
                </c:pt>
              </c:strCache>
            </c:strRef>
          </c:cat>
          <c:val>
            <c:numRef>
              <c:f>'Avg Profit '!$C$4:$C$9</c:f>
              <c:numCache>
                <c:formatCode>_-[$$-409]* #,##0.00_ ;_-[$$-409]* \-#,##0.00\ ;_-[$$-409]* "-"??_ ;_-@_ </c:formatCode>
                <c:ptCount val="5"/>
                <c:pt idx="0">
                  <c:v>96524</c:v>
                </c:pt>
                <c:pt idx="1">
                  <c:v>132932</c:v>
                </c:pt>
                <c:pt idx="2">
                  <c:v>116187</c:v>
                </c:pt>
                <c:pt idx="3">
                  <c:v>107298</c:v>
                </c:pt>
                <c:pt idx="4">
                  <c:v>82274</c:v>
                </c:pt>
              </c:numCache>
            </c:numRef>
          </c:val>
          <c:extLst>
            <c:ext xmlns:c16="http://schemas.microsoft.com/office/drawing/2014/chart" uri="{C3380CC4-5D6E-409C-BE32-E72D297353CC}">
              <c16:uniqueId val="{00000001-65B8-49FE-B6D2-C5AABB01A0EF}"/>
            </c:ext>
          </c:extLst>
        </c:ser>
        <c:dLbls>
          <c:dLblPos val="outEnd"/>
          <c:showLegendKey val="0"/>
          <c:showVal val="0"/>
          <c:showCatName val="0"/>
          <c:showSerName val="0"/>
          <c:showPercent val="0"/>
          <c:showBubbleSize val="0"/>
        </c:dLbls>
        <c:gapWidth val="100"/>
        <c:overlap val="-24"/>
        <c:axId val="189352895"/>
        <c:axId val="189351935"/>
      </c:barChart>
      <c:catAx>
        <c:axId val="1893528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600"/>
                  <a:t>Average</a:t>
                </a:r>
                <a:r>
                  <a:rPr lang="en-IN" sz="1600" baseline="0"/>
                  <a:t> profit</a:t>
                </a:r>
                <a:endParaRPr lang="en-IN" sz="1600"/>
              </a:p>
            </c:rich>
          </c:tx>
          <c:layout>
            <c:manualLayout>
              <c:xMode val="edge"/>
              <c:yMode val="edge"/>
              <c:x val="0.35189122626214148"/>
              <c:y val="4.1124444286499626E-2"/>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351935"/>
        <c:crosses val="autoZero"/>
        <c:auto val="1"/>
        <c:lblAlgn val="ctr"/>
        <c:lblOffset val="100"/>
        <c:noMultiLvlLbl val="0"/>
      </c:catAx>
      <c:valAx>
        <c:axId val="189351935"/>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35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[project.xlsx]Avg Camp!PivotTable3</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pie"/>
        <c:varyColors val="1"/>
        <c:ser>
          <c:idx val="0"/>
          <c:order val="0"/>
          <c:tx>
            <c:strRef>
              <c:f>'Avg Camp'!$B$3</c:f>
              <c:strCache>
                <c:ptCount val="1"/>
                <c:pt idx="0">
                  <c:v>Count of Campaigns (Count)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7B5-44CC-B599-04645C06159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7B5-44CC-B599-04645C06159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7B5-44CC-B599-04645C06159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7B5-44CC-B599-04645C06159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7B5-44CC-B599-04645C06159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7B5-44CC-B599-04645C061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'Avg Camp'!$A$4:$A$9</c:f>
              <c:strCache>
                <c:ptCount val="5"/>
                <c:pt idx="0">
                  <c:v>Alabama</c:v>
                </c:pt>
                <c:pt idx="1">
                  <c:v>Alaska</c:v>
                </c:pt>
                <c:pt idx="2">
                  <c:v>Arizona</c:v>
                </c:pt>
                <c:pt idx="3">
                  <c:v>Arkansas</c:v>
                </c:pt>
                <c:pt idx="4">
                  <c:v>California</c:v>
                </c:pt>
              </c:strCache>
            </c:strRef>
          </c:cat>
          <c:val>
            <c:numRef>
              <c:f>'Avg Camp'!$B$4:$B$9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C-57B5-44CC-B599-04645C061590}"/>
            </c:ext>
          </c:extLst>
        </c:ser>
        <c:ser>
          <c:idx val="1"/>
          <c:order val="1"/>
          <c:tx>
            <c:strRef>
              <c:f>'Avg Camp'!$C$3</c:f>
              <c:strCache>
                <c:ptCount val="1"/>
                <c:pt idx="0">
                  <c:v>Sum of Product Sold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57B5-44CC-B599-04645C06159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57B5-44CC-B599-04645C06159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2-57B5-44CC-B599-04645C06159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4-57B5-44CC-B599-04645C06159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6-57B5-44CC-B599-04645C06159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8-57B5-44CC-B599-04645C0615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'Avg Camp'!$A$4:$A$9</c:f>
              <c:strCache>
                <c:ptCount val="5"/>
                <c:pt idx="0">
                  <c:v>Alabama</c:v>
                </c:pt>
                <c:pt idx="1">
                  <c:v>Alaska</c:v>
                </c:pt>
                <c:pt idx="2">
                  <c:v>Arizona</c:v>
                </c:pt>
                <c:pt idx="3">
                  <c:v>Arkansas</c:v>
                </c:pt>
                <c:pt idx="4">
                  <c:v>California</c:v>
                </c:pt>
              </c:strCache>
            </c:strRef>
          </c:cat>
          <c:val>
            <c:numRef>
              <c:f>'Avg Camp'!$C$4:$C$9</c:f>
              <c:numCache>
                <c:formatCode>General</c:formatCode>
                <c:ptCount val="5"/>
                <c:pt idx="0">
                  <c:v>38</c:v>
                </c:pt>
                <c:pt idx="1">
                  <c:v>37</c:v>
                </c:pt>
                <c:pt idx="2">
                  <c:v>29</c:v>
                </c:pt>
                <c:pt idx="3">
                  <c:v>27</c:v>
                </c:pt>
                <c:pt idx="4">
                  <c:v>50</c:v>
                </c:pt>
              </c:numCache>
            </c:numRef>
          </c:val>
          <c:extLst>
            <c:ext xmlns:c16="http://schemas.microsoft.com/office/drawing/2014/chart" uri="{C3380CC4-5D6E-409C-BE32-E72D297353CC}">
              <c16:uniqueId val="{00000019-57B5-44CC-B599-04645C061590}"/>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[project.xlsx]Overall Success!PivotTable4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Success</a:t>
            </a:r>
            <a:r>
              <a:rPr lang="en-US" baseline="0"/>
              <a:t> Rate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'Overall Success'!$B$3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F25-478E-8557-556F67C6A6D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F25-478E-8557-556F67C6A6D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F25-478E-8557-556F67C6A6D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F25-478E-8557-556F67C6A6D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F25-478E-8557-556F67C6A6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'Overall Success'!$A$4:$A$9</c:f>
              <c:strCache>
                <c:ptCount val="5"/>
                <c:pt idx="0">
                  <c:v>Alabama</c:v>
                </c:pt>
                <c:pt idx="1">
                  <c:v>Alaska</c:v>
                </c:pt>
                <c:pt idx="2">
                  <c:v>Arizona</c:v>
                </c:pt>
                <c:pt idx="3">
                  <c:v>Arkansas</c:v>
                </c:pt>
                <c:pt idx="4">
                  <c:v>California</c:v>
                </c:pt>
              </c:strCache>
            </c:strRef>
          </c:cat>
          <c:val>
            <c:numRef>
              <c:f>'Overall Success'!$B$4:$B$9</c:f>
              <c:numCache>
                <c:formatCode>General</c:formatCode>
                <c:ptCount val="5"/>
                <c:pt idx="0">
                  <c:v>0.76</c:v>
                </c:pt>
                <c:pt idx="1">
                  <c:v>0.74</c:v>
                </c:pt>
                <c:pt idx="2">
                  <c:v>0.57999999999999996</c:v>
                </c:pt>
                <c:pt idx="3">
                  <c:v>0.54</c:v>
                </c:pt>
                <c:pt idx="4">
                  <c:v>1</c:v>
                </c:pt>
              </c:numCache>
            </c:numRef>
          </c:val>
          <c:extLst>
            <c:ext xmlns:c16="http://schemas.microsoft.com/office/drawing/2014/chart" uri="{C3380CC4-5D6E-409C-BE32-E72D297353CC}">
              <c16:uniqueId val="{0000000A-3F25-478E-8557-556F67C6A6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190500</xdr:colOff>
      <xdr:row>1</xdr:row>
      <xdr:rowOff>87630</xdr:rowOff>
    </xdr:from>
    <xdr:to>
      <xdr:col>13</xdr:col>
      <xdr:colOff>99060</xdr:colOff>
      <xdr:row>6</xdr:row>
      <xdr:rowOff>87630</xdr:rowOff>
    </xdr:to>
    <xdr:sp macro="" textlink="">
      <xdr:nvSpPr>
        <xdr:cNvPr id="2" name="TextBox 1">
          <a:extLst>
            <a:ext uri="{FF2B5EF4-FFF2-40B4-BE49-F238E27FC236}">
              <a16:creationId xmlns:a16="http://schemas.microsoft.com/office/drawing/2014/main" id="{BCF19B0D-0690-BDDF-6070-8C5456D775E8}"/>
            </a:ext>
          </a:extLst>
        </xdr:cNvPr>
        <xdr:cNvSpPr txBox="1"/>
      </xdr:nvSpPr>
      <xdr:spPr>
        <a:xfrm>
          <a:off x="2019300" y="270510"/>
          <a:ext cx="6004560" cy="91440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a:t>Amazon Financial Dashboard</a:t>
          </a:r>
        </a:p>
      </xdr:txBody>
    </xdr:sp>
    <xdr:clientData/>
  </xdr:twoCellAnchor>
  <xdr:twoCellAnchor>
    <xdr:from>
      <xdr:col>3</xdr:col>
      <xdr:colOff>167640</xdr:colOff>
      <xdr:row>7</xdr:row>
      <xdr:rowOff>106680</xdr:rowOff>
    </xdr:from>
    <xdr:to>
      <xdr:col>10</xdr:col>
      <xdr:colOff>266700</xdr:colOff>
      <xdr:row>19</xdr:row>
      <xdr:rowOff>179070</xdr:rowOff>
    </xdr:to>
    <xdr:graphicFrame macro="">
      <xdr:nvGraphicFramePr>
        <xdr:cNvPr id="3" name="Chart 1">
          <a:extLst>
            <a:ext uri="{FF2B5EF4-FFF2-40B4-BE49-F238E27FC236}">
              <a16:creationId xmlns:a16="http://schemas.microsoft.com/office/drawing/2014/main" id="{3CB2834E-8698-D773-1377-0F24F7BF9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429883</xdr:colOff>
      <xdr:row>7</xdr:row>
      <xdr:rowOff>22069</xdr:rowOff>
    </xdr:from>
    <xdr:to>
      <xdr:col>17</xdr:col>
      <xdr:colOff>416943</xdr:colOff>
      <xdr:row>19</xdr:row>
      <xdr:rowOff>143773</xdr:rowOff>
    </xdr:to>
    <xdr:graphicFrame macro="">
      <xdr:nvGraphicFramePr>
        <xdr:cNvPr id="4" name="Chart 1">
          <a:extLst>
            <a:ext uri="{FF2B5EF4-FFF2-40B4-BE49-F238E27FC236}">
              <a16:creationId xmlns:a16="http://schemas.microsoft.com/office/drawing/2014/main" id="{AD395A94-1E34-E2D2-4FEA-F7432CC89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586165</xdr:colOff>
      <xdr:row>22</xdr:row>
      <xdr:rowOff>49386</xdr:rowOff>
    </xdr:from>
    <xdr:to>
      <xdr:col>10</xdr:col>
      <xdr:colOff>345056</xdr:colOff>
      <xdr:row>34</xdr:row>
      <xdr:rowOff>158151</xdr:rowOff>
    </xdr:to>
    <xdr:graphicFrame macro="">
      <xdr:nvGraphicFramePr>
        <xdr:cNvPr id="5" name="Chart 1">
          <a:extLst>
            <a:ext uri="{FF2B5EF4-FFF2-40B4-BE49-F238E27FC236}">
              <a16:creationId xmlns:a16="http://schemas.microsoft.com/office/drawing/2014/main" id="{31DEDD04-20CB-5D44-87E9-0DFBAC5DA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61191</xdr:colOff>
      <xdr:row>6</xdr:row>
      <xdr:rowOff>133696</xdr:rowOff>
    </xdr:from>
    <xdr:to>
      <xdr:col>3</xdr:col>
      <xdr:colOff>54264</xdr:colOff>
      <xdr:row>20</xdr:row>
      <xdr:rowOff>14490</xdr:rowOff>
    </xdr:to>
    <mc:AlternateContent xmlns:mc="http://schemas.openxmlformats.org/markup-compatibility/2006">
      <mc:Choice xmlns:a14="http://schemas.microsoft.com/office/drawing/2010/main" Requires="a14">
        <xdr:graphicFrame macro="">
          <xdr:nvGraphicFramePr>
            <xdr:cNvPr id="7" name="Profit (in $)">
              <a:extLst>
                <a:ext uri="{FF2B5EF4-FFF2-40B4-BE49-F238E27FC236}">
                  <a16:creationId xmlns:a16="http://schemas.microsoft.com/office/drawing/2014/main" id="{A481F78B-E3E5-7D0B-9C2D-F1BCEEDFD1A0}"/>
                </a:ext>
              </a:extLst>
            </xdr:cNvPr>
            <xdr:cNvGraphicFramePr/>
          </xdr:nvGraphicFramePr>
          <xdr:xfrm>
            <a:off x="0" y="0"/>
            <a:ext cx="0" cy="0"/>
          </xdr:xfrm>
          <a:graphic>
            <a:graphicData uri="http://schemas.microsoft.com/office/drawing/2010/slicer">
              <sle:slicer xmlns:sle="http://schemas.microsoft.com/office/drawing/2010/slicer" name="Profit (in $)"/>
            </a:graphicData>
          </a:graphic>
        </xdr:graphicFrame>
      </mc:Choice>
      <mc:Fallback>
        <xdr:sp macro="" textlink="">
          <xdr:nvSpPr>
            <xdr:cNvPr id="0" name=""/>
            <xdr:cNvSpPr>
              <a:spLocks noTextEdit="1"/>
            </xdr:cNvSpPr>
          </xdr:nvSpPr>
          <xdr:spPr>
            <a:xfrm>
              <a:off x="61191"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114070</xdr:colOff>
      <xdr:row>22</xdr:row>
      <xdr:rowOff>24938</xdr:rowOff>
    </xdr:from>
    <xdr:to>
      <xdr:col>3</xdr:col>
      <xdr:colOff>107143</xdr:colOff>
      <xdr:row>35</xdr:row>
      <xdr:rowOff>90458</xdr:rowOff>
    </xdr:to>
    <mc:AlternateContent xmlns:mc="http://schemas.openxmlformats.org/markup-compatibility/2006">
      <mc:Choice xmlns:a14="http://schemas.microsoft.com/office/drawing/2010/main" Requires="a14">
        <xdr:graphicFrame macro="">
          <xdr:nvGraphicFramePr>
            <xdr:cNvPr id="8" name="Product Sold">
              <a:extLst>
                <a:ext uri="{FF2B5EF4-FFF2-40B4-BE49-F238E27FC236}">
                  <a16:creationId xmlns:a16="http://schemas.microsoft.com/office/drawing/2014/main" id="{1E3E57A1-4C3D-9DDF-00A0-0F8D4C159CD4}"/>
                </a:ext>
              </a:extLst>
            </xdr:cNvPr>
            <xdr:cNvGraphicFramePr/>
          </xdr:nvGraphicFramePr>
          <xdr:xfrm>
            <a:off x="0" y="0"/>
            <a:ext cx="0" cy="0"/>
          </xdr:xfrm>
          <a:graphic>
            <a:graphicData uri="http://schemas.microsoft.com/office/drawing/2010/slicer">
              <sle:slicer xmlns:sle="http://schemas.microsoft.com/office/drawing/2010/slicer" name="Product Sold"/>
            </a:graphicData>
          </a:graphic>
        </xdr:graphicFrame>
      </mc:Choice>
      <mc:Fallback>
        <xdr:sp macro="" textlink="">
          <xdr:nvSpPr>
            <xdr:cNvPr id="0" name=""/>
            <xdr:cNvSpPr>
              <a:spLocks noTextEdit="1"/>
            </xdr:cNvSpPr>
          </xdr:nvSpPr>
          <xdr:spPr>
            <a:xfrm>
              <a:off x="114070" y="408893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372456</xdr:colOff>
      <xdr:row>21</xdr:row>
      <xdr:rowOff>161636</xdr:rowOff>
    </xdr:from>
    <xdr:to>
      <xdr:col>17</xdr:col>
      <xdr:colOff>484909</xdr:colOff>
      <xdr:row>35</xdr:row>
      <xdr:rowOff>60844</xdr:rowOff>
    </xdr:to>
    <xdr:graphicFrame macro="">
      <xdr:nvGraphicFramePr>
        <xdr:cNvPr id="10" name="Chart 3">
          <a:extLst>
            <a:ext uri="{FF2B5EF4-FFF2-40B4-BE49-F238E27FC236}">
              <a16:creationId xmlns:a16="http://schemas.microsoft.com/office/drawing/2014/main" id="{CCEE1474-E851-D80B-9D68-960AD93FD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refreshedDate="46006.779906828706" createdVersion="8" refreshedVersion="8" minRefreshableVersion="3" recordCount="5" xr:uid="{1B5476B7-C0F1-4A0C-BEC8-319A7EBD70D6}">
  <cacheSource type="worksheet">
    <worksheetSource ref="A1:H6" sheet="Data"/>
  </cacheSource>
  <cacheFields count="8">
    <cacheField name="State" numFmtId="0">
      <sharedItems count="5">
        <s v="Alabama"/>
        <s v="Alaska"/>
        <s v="Arizona"/>
        <s v="Arkansas"/>
        <s v="California"/>
      </sharedItems>
    </cacheField>
    <cacheField name="R&amp;D Amount (in $)" numFmtId="164">
      <sharedItems containsSemiMixedTypes="0" containsString="0" containsNumber="1" containsInteger="1" minValue="105431" maxValue="180067"/>
    </cacheField>
    <cacheField name="Marketing Amount (in $)" numFmtId="164">
      <sharedItems containsSemiMixedTypes="0" containsString="0" containsNumber="1" containsInteger="1" minValue="82274" maxValue="132932"/>
    </cacheField>
    <cacheField name="Campaigns (Count)" numFmtId="0">
      <sharedItems containsSemiMixedTypes="0" containsString="0" containsNumber="1" containsInteger="1" minValue="3" maxValue="10"/>
    </cacheField>
    <cacheField name="Profit (in $)" numFmtId="164">
      <sharedItems containsSemiMixedTypes="0" containsString="0" containsNumber="1" containsInteger="1" minValue="42541" maxValue="60994" count="5">
        <n v="47036"/>
        <n v="42541"/>
        <n v="43087"/>
        <n v="46504"/>
        <n v="60994"/>
      </sharedItems>
    </cacheField>
    <cacheField name="Employee Count" numFmtId="0">
      <sharedItems containsSemiMixedTypes="0" containsString="0" containsNumber="1" containsInteger="1" minValue="164" maxValue="285"/>
    </cacheField>
    <cacheField name="Product Sold" numFmtId="0">
      <sharedItems containsSemiMixedTypes="0" containsString="0" containsNumber="1" containsInteger="1" minValue="27" maxValue="50" count="5">
        <n v="38"/>
        <n v="37"/>
        <n v="29"/>
        <n v="27"/>
        <n v="50"/>
      </sharedItems>
    </cacheField>
    <cacheField name="Total Products" numFmtId="0">
      <sharedItems containsSemiMixedTypes="0" containsString="0" containsNumber="1" containsInteger="1" minValue="50" maxValue="50"/>
    </cacheField>
  </cacheFields>
  <extLst>
    <ext xmlns:x14="http://schemas.microsoft.com/office/spreadsheetml/2009/9/main" uri="{725AE2AE-9491-48be-B2B4-4EB974FC3084}">
      <x14:pivotCacheDefinition pivotCacheId="16250368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a" refreshedDate="46006.782827083334" createdVersion="8" refreshedVersion="8" minRefreshableVersion="3" recordCount="5" xr:uid="{66734ABF-96B1-4763-8E75-9E815EB91642}">
  <cacheSource type="worksheet">
    <worksheetSource ref="A1:I6" sheet="Data"/>
  </cacheSource>
  <cacheFields count="9">
    <cacheField name="State" numFmtId="0">
      <sharedItems count="5">
        <s v="Alabama"/>
        <s v="Alaska"/>
        <s v="Arizona"/>
        <s v="Arkansas"/>
        <s v="California"/>
      </sharedItems>
    </cacheField>
    <cacheField name="R&amp;D Amount (in $)" numFmtId="164">
      <sharedItems containsSemiMixedTypes="0" containsString="0" containsNumber="1" containsInteger="1" minValue="105431" maxValue="180067"/>
    </cacheField>
    <cacheField name="Marketing Amount (in $)" numFmtId="164">
      <sharedItems containsSemiMixedTypes="0" containsString="0" containsNumber="1" containsInteger="1" minValue="82274" maxValue="132932"/>
    </cacheField>
    <cacheField name="Campaigns (Count)" numFmtId="0">
      <sharedItems containsSemiMixedTypes="0" containsString="0" containsNumber="1" containsInteger="1" minValue="3" maxValue="10"/>
    </cacheField>
    <cacheField name="Profit (in $)" numFmtId="164">
      <sharedItems containsSemiMixedTypes="0" containsString="0" containsNumber="1" containsInteger="1" minValue="42541" maxValue="60994" count="5">
        <n v="47036"/>
        <n v="42541"/>
        <n v="43087"/>
        <n v="46504"/>
        <n v="60994"/>
      </sharedItems>
    </cacheField>
    <cacheField name="Employee Count" numFmtId="0">
      <sharedItems containsSemiMixedTypes="0" containsString="0" containsNumber="1" containsInteger="1" minValue="164" maxValue="285"/>
    </cacheField>
    <cacheField name="Product Sold" numFmtId="0">
      <sharedItems containsSemiMixedTypes="0" containsString="0" containsNumber="1" containsInteger="1" minValue="27" maxValue="50" count="5">
        <n v="38"/>
        <n v="37"/>
        <n v="29"/>
        <n v="27"/>
        <n v="50"/>
      </sharedItems>
    </cacheField>
    <cacheField name="Total Products" numFmtId="0">
      <sharedItems containsSemiMixedTypes="0" containsString="0" containsNumber="1" containsInteger="1" minValue="50" maxValue="50"/>
    </cacheField>
    <cacheField name="Success Rate" numFmtId="0">
      <sharedItems containsSemiMixedTypes="0" containsString="0" containsNumber="1" minValue="0.54" maxValue="1"/>
    </cacheField>
  </cacheFields>
  <extLst>
    <ext xmlns:x14="http://schemas.microsoft.com/office/spreadsheetml/2009/9/main" uri="{725AE2AE-9491-48be-B2B4-4EB974FC3084}">
      <x14:pivotCacheDefinition pivotCacheId="782400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67684"/>
    <n v="96524"/>
    <n v="6"/>
    <x v="0"/>
    <n v="278"/>
    <x v="0"/>
    <n v="50"/>
  </r>
  <r>
    <x v="1"/>
    <n v="180067"/>
    <n v="132932"/>
    <n v="3"/>
    <x v="1"/>
    <n v="164"/>
    <x v="1"/>
    <n v="50"/>
  </r>
  <r>
    <x v="2"/>
    <n v="105431"/>
    <n v="116187"/>
    <n v="10"/>
    <x v="2"/>
    <n v="181"/>
    <x v="2"/>
    <n v="50"/>
  </r>
  <r>
    <x v="3"/>
    <n v="171035"/>
    <n v="107298"/>
    <n v="6"/>
    <x v="3"/>
    <n v="285"/>
    <x v="3"/>
    <n v="50"/>
  </r>
  <r>
    <x v="4"/>
    <n v="121645"/>
    <n v="82274"/>
    <n v="7"/>
    <x v="4"/>
    <n v="201"/>
    <x v="4"/>
    <n v="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67684"/>
    <n v="96524"/>
    <n v="6"/>
    <x v="0"/>
    <n v="278"/>
    <x v="0"/>
    <n v="50"/>
    <n v="0.76"/>
  </r>
  <r>
    <x v="1"/>
    <n v="180067"/>
    <n v="132932"/>
    <n v="3"/>
    <x v="1"/>
    <n v="164"/>
    <x v="1"/>
    <n v="50"/>
    <n v="0.74"/>
  </r>
  <r>
    <x v="2"/>
    <n v="105431"/>
    <n v="116187"/>
    <n v="10"/>
    <x v="2"/>
    <n v="181"/>
    <x v="2"/>
    <n v="50"/>
    <n v="0.57999999999999996"/>
  </r>
  <r>
    <x v="3"/>
    <n v="171035"/>
    <n v="107298"/>
    <n v="6"/>
    <x v="3"/>
    <n v="285"/>
    <x v="3"/>
    <n v="50"/>
    <n v="0.54"/>
  </r>
  <r>
    <x v="4"/>
    <n v="121645"/>
    <n v="82274"/>
    <n v="7"/>
    <x v="4"/>
    <n v="201"/>
    <x v="4"/>
    <n v="5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F0549-AE98-48B4-A3BF-C128CD2EFE5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8">
    <pivotField axis="axisRow" showAll="0">
      <items count="6">
        <item x="0"/>
        <item x="1"/>
        <item x="2"/>
        <item x="3"/>
        <item x="4"/>
        <item t="default"/>
      </items>
    </pivotField>
    <pivotField numFmtId="164" showAll="0"/>
    <pivotField numFmtId="164" showAll="0"/>
    <pivotField showAll="0"/>
    <pivotField dataField="1" numFmtId="164" showAll="0">
      <items count="6">
        <item x="1"/>
        <item x="2"/>
        <item x="3"/>
        <item x="0"/>
        <item x="4"/>
        <item t="default"/>
      </items>
    </pivotField>
    <pivotField showAll="0"/>
    <pivotField showAll="0">
      <items count="6">
        <item x="3"/>
        <item x="2"/>
        <item x="1"/>
        <item x="0"/>
        <item x="4"/>
        <item t="default"/>
      </items>
    </pivotField>
    <pivotField showAll="0"/>
  </pivotFields>
  <rowFields count="1">
    <field x="0"/>
  </rowFields>
  <rowItems count="6">
    <i>
      <x/>
    </i>
    <i>
      <x v="1"/>
    </i>
    <i>
      <x v="2"/>
    </i>
    <i>
      <x v="3"/>
    </i>
    <i>
      <x v="4"/>
    </i>
    <i t="grand">
      <x/>
    </i>
  </rowItems>
  <colItems count="1">
    <i/>
  </colItems>
  <dataFields count="1">
    <dataField name="Sum of Profit (in $)" fld="4" baseField="0" baseItem="0" numFmtId="164"/>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F21FB-A4B1-458B-9FB4-29FFD2A044B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9" firstHeaderRow="0" firstDataRow="1" firstDataCol="1"/>
  <pivotFields count="8">
    <pivotField axis="axisRow" showAll="0">
      <items count="6">
        <item x="0"/>
        <item x="1"/>
        <item x="2"/>
        <item x="3"/>
        <item x="4"/>
        <item t="default"/>
      </items>
    </pivotField>
    <pivotField dataField="1" numFmtId="164" showAll="0"/>
    <pivotField dataField="1" numFmtId="164" showAll="0"/>
    <pivotField showAll="0"/>
    <pivotField numFmtId="164" showAll="0">
      <items count="6">
        <item x="1"/>
        <item x="2"/>
        <item x="3"/>
        <item x="0"/>
        <item x="4"/>
        <item t="default"/>
      </items>
    </pivotField>
    <pivotField showAll="0"/>
    <pivotField showAll="0">
      <items count="6">
        <item x="3"/>
        <item x="2"/>
        <item x="1"/>
        <item x="0"/>
        <item x="4"/>
        <item t="default"/>
      </items>
    </pivotField>
    <pivotField showAll="0"/>
  </pivotFields>
  <rowFields count="1">
    <field x="0"/>
  </rowFields>
  <rowItems count="6">
    <i>
      <x/>
    </i>
    <i>
      <x v="1"/>
    </i>
    <i>
      <x v="2"/>
    </i>
    <i>
      <x v="3"/>
    </i>
    <i>
      <x v="4"/>
    </i>
    <i t="grand">
      <x/>
    </i>
  </rowItems>
  <colFields count="1">
    <field x="-2"/>
  </colFields>
  <colItems count="2">
    <i>
      <x/>
    </i>
    <i i="1">
      <x v="1"/>
    </i>
  </colItems>
  <dataFields count="2">
    <dataField name="Sum of R&amp;D Amount (in $)" fld="1" baseField="0" baseItem="0" numFmtId="164"/>
    <dataField name="Sum of Marketing Amount (in $)" fld="2" baseField="0" baseItem="0" numFmtId="164"/>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B85EBC-BE18-4850-96F2-3B73A1B902F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9" firstHeaderRow="0" firstDataRow="1" firstDataCol="1"/>
  <pivotFields count="8">
    <pivotField axis="axisRow" showAll="0">
      <items count="6">
        <item x="0"/>
        <item x="1"/>
        <item x="2"/>
        <item x="3"/>
        <item x="4"/>
        <item t="default"/>
      </items>
    </pivotField>
    <pivotField numFmtId="164" showAll="0"/>
    <pivotField numFmtId="164" showAll="0"/>
    <pivotField dataField="1" showAll="0"/>
    <pivotField numFmtId="164" showAll="0">
      <items count="6">
        <item x="1"/>
        <item x="2"/>
        <item x="3"/>
        <item x="0"/>
        <item x="4"/>
        <item t="default"/>
      </items>
    </pivotField>
    <pivotField showAll="0"/>
    <pivotField dataField="1" showAll="0">
      <items count="6">
        <item x="3"/>
        <item x="2"/>
        <item x="1"/>
        <item x="0"/>
        <item x="4"/>
        <item t="default"/>
      </items>
    </pivotField>
    <pivotField showAll="0"/>
  </pivotFields>
  <rowFields count="1">
    <field x="0"/>
  </rowFields>
  <rowItems count="6">
    <i>
      <x/>
    </i>
    <i>
      <x v="1"/>
    </i>
    <i>
      <x v="2"/>
    </i>
    <i>
      <x v="3"/>
    </i>
    <i>
      <x v="4"/>
    </i>
    <i t="grand">
      <x/>
    </i>
  </rowItems>
  <colFields count="1">
    <field x="-2"/>
  </colFields>
  <colItems count="2">
    <i>
      <x/>
    </i>
    <i i="1">
      <x v="1"/>
    </i>
  </colItems>
  <dataFields count="2">
    <dataField name="Count of Campaigns (Count)" fld="3" subtotal="count" baseField="0" baseItem="0"/>
    <dataField name="Sum of Product Sold" fld="6" baseField="0" baseItem="0"/>
  </dataFields>
  <chartFormats count="12">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1"/>
          </reference>
        </references>
      </pivotArea>
    </chartFormat>
    <chartFormat chart="13" format="5">
      <pivotArea type="data" outline="0" fieldPosition="0">
        <references count="2">
          <reference field="4294967294" count="1" selected="0">
            <x v="0"/>
          </reference>
          <reference field="0" count="1" selected="0">
            <x v="2"/>
          </reference>
        </references>
      </pivotArea>
    </chartFormat>
    <chartFormat chart="13" format="6">
      <pivotArea type="data" outline="0" fieldPosition="0">
        <references count="2">
          <reference field="4294967294" count="1" selected="0">
            <x v="0"/>
          </reference>
          <reference field="0" count="1" selected="0">
            <x v="3"/>
          </reference>
        </references>
      </pivotArea>
    </chartFormat>
    <chartFormat chart="13" format="7">
      <pivotArea type="data" outline="0" fieldPosition="0">
        <references count="2">
          <reference field="4294967294" count="1" selected="0">
            <x v="0"/>
          </reference>
          <reference field="0" count="1" selected="0">
            <x v="4"/>
          </reference>
        </references>
      </pivotArea>
    </chartFormat>
    <chartFormat chart="13" format="8" series="1">
      <pivotArea type="data" outline="0" fieldPosition="0">
        <references count="1">
          <reference field="4294967294" count="1" selected="0">
            <x v="1"/>
          </reference>
        </references>
      </pivotArea>
    </chartFormat>
    <chartFormat chart="13" format="9">
      <pivotArea type="data" outline="0" fieldPosition="0">
        <references count="2">
          <reference field="4294967294" count="1" selected="0">
            <x v="1"/>
          </reference>
          <reference field="0" count="1" selected="0">
            <x v="0"/>
          </reference>
        </references>
      </pivotArea>
    </chartFormat>
    <chartFormat chart="13" format="10">
      <pivotArea type="data" outline="0" fieldPosition="0">
        <references count="2">
          <reference field="4294967294" count="1" selected="0">
            <x v="1"/>
          </reference>
          <reference field="0" count="1" selected="0">
            <x v="1"/>
          </reference>
        </references>
      </pivotArea>
    </chartFormat>
    <chartFormat chart="13" format="11">
      <pivotArea type="data" outline="0" fieldPosition="0">
        <references count="2">
          <reference field="4294967294" count="1" selected="0">
            <x v="1"/>
          </reference>
          <reference field="0" count="1" selected="0">
            <x v="2"/>
          </reference>
        </references>
      </pivotArea>
    </chartFormat>
    <chartFormat chart="13" format="12">
      <pivotArea type="data" outline="0" fieldPosition="0">
        <references count="2">
          <reference field="4294967294" count="1" selected="0">
            <x v="1"/>
          </reference>
          <reference field="0" count="1" selected="0">
            <x v="3"/>
          </reference>
        </references>
      </pivotArea>
    </chartFormat>
    <chartFormat chart="13" format="13">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D9A4ED-8B31-4D4E-B9C1-1B242F64DA90}"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9">
    <pivotField axis="axisRow" showAll="0">
      <items count="6">
        <item x="0"/>
        <item x="1"/>
        <item x="2"/>
        <item x="3"/>
        <item x="4"/>
        <item t="default"/>
      </items>
    </pivotField>
    <pivotField numFmtId="164" showAll="0"/>
    <pivotField numFmtId="164" showAll="0"/>
    <pivotField showAll="0"/>
    <pivotField numFmtId="164"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Sum of Success Rate" fld="8" baseField="0" baseItem="0"/>
  </dataFields>
  <chartFormats count="6">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0"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6" format="4">
      <pivotArea type="data" outline="0" fieldPosition="0">
        <references count="2">
          <reference field="4294967294" count="1" selected="0">
            <x v="0"/>
          </reference>
          <reference field="0" count="1" selected="0">
            <x v="2"/>
          </reference>
        </references>
      </pivotArea>
    </chartFormat>
    <chartFormat chart="16" format="5">
      <pivotArea type="data" outline="0" fieldPosition="0">
        <references count="2">
          <reference field="4294967294" count="1" selected="0">
            <x v="0"/>
          </reference>
          <reference field="0" count="1" selected="0">
            <x v="3"/>
          </reference>
        </references>
      </pivotArea>
    </chartFormat>
    <chartFormat chart="16" format="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old" xr10:uid="{2AE86DD2-3195-43EE-AC00-4486F5E399D8}" sourceName="Product Sold">
  <pivotTables>
    <pivotTable tabId="14" name="PivotTable1"/>
    <pivotTable tabId="16" name="PivotTable3"/>
    <pivotTable tabId="15" name="PivotTable2"/>
  </pivotTables>
  <data>
    <tabular pivotCacheId="1625036824">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_in" xr10:uid="{D978A6FE-7E82-4733-8D92-DD83F30219BB}" sourceName="Profit (in $)">
  <pivotTables>
    <pivotTable tabId="14" name="PivotTable1"/>
    <pivotTable tabId="16" name="PivotTable3"/>
    <pivotTable tabId="15" name="PivotTable2"/>
  </pivotTables>
  <data>
    <tabular pivotCacheId="1625036824">
      <items count="5">
        <i x="1" s="1"/>
        <i x="2"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Sold" xr10:uid="{CB0DF756-869B-4A4C-9269-D108E7EB94E8}" cache="Slicer_Product_Sold" caption="Product Sold" style="SlicerStyleDark2" rowHeight="234950"/>
  <slicer name="Profit (in $)" xr10:uid="{E3FB22BE-A99C-4D39-A8F3-1396C223AC51}" cache="Slicer_Profit__in" caption="Profit (in $)" style="SlicerStyleDark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B6CD-AA42-41B2-BA6F-F5E7526FBE7A}">
  <dimension ref="A3:B9"/>
  <sheetViews>
    <sheetView workbookViewId="0">
      <selection activeCell="P7" sqref="P7"/>
    </sheetView>
  </sheetViews>
  <sheetFormatPr defaultRowHeight="14.4" x14ac:dyDescent="0.3"/>
  <cols>
    <col min="1" max="1" width="12.5546875" bestFit="1" customWidth="1"/>
    <col min="2" max="2" width="17" bestFit="1" customWidth="1"/>
  </cols>
  <sheetData>
    <row r="3" spans="1:2" x14ac:dyDescent="0.3">
      <c r="A3" s="3" t="s">
        <v>14</v>
      </c>
      <c r="B3" t="s">
        <v>15</v>
      </c>
    </row>
    <row r="4" spans="1:2" x14ac:dyDescent="0.3">
      <c r="A4" s="4" t="s">
        <v>6</v>
      </c>
      <c r="B4" s="2">
        <v>47036</v>
      </c>
    </row>
    <row r="5" spans="1:2" x14ac:dyDescent="0.3">
      <c r="A5" s="4" t="s">
        <v>7</v>
      </c>
      <c r="B5" s="2">
        <v>42541</v>
      </c>
    </row>
    <row r="6" spans="1:2" x14ac:dyDescent="0.3">
      <c r="A6" s="4" t="s">
        <v>8</v>
      </c>
      <c r="B6" s="2">
        <v>43087</v>
      </c>
    </row>
    <row r="7" spans="1:2" x14ac:dyDescent="0.3">
      <c r="A7" s="4" t="s">
        <v>9</v>
      </c>
      <c r="B7" s="2">
        <v>46504</v>
      </c>
    </row>
    <row r="8" spans="1:2" x14ac:dyDescent="0.3">
      <c r="A8" s="4" t="s">
        <v>10</v>
      </c>
      <c r="B8" s="2">
        <v>60994</v>
      </c>
    </row>
    <row r="9" spans="1:2" x14ac:dyDescent="0.3">
      <c r="A9" s="4" t="s">
        <v>13</v>
      </c>
      <c r="B9" s="2">
        <v>240162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EEC0-27E3-4E75-8EFF-D93A2844F405}">
  <dimension ref="A3:C9"/>
  <sheetViews>
    <sheetView workbookViewId="0">
      <selection activeCell="A3" sqref="A3:C9"/>
    </sheetView>
  </sheetViews>
  <sheetFormatPr defaultRowHeight="14.4" x14ac:dyDescent="0.3"/>
  <cols>
    <col min="1" max="1" width="12.5546875" bestFit="1" customWidth="1"/>
    <col min="2" max="2" width="23.6640625" bestFit="1" customWidth="1"/>
    <col min="3" max="3" width="28.6640625" bestFit="1" customWidth="1"/>
  </cols>
  <sheetData>
    <row r="3" spans="1:3" x14ac:dyDescent="0.3">
      <c r="A3" s="3" t="s">
        <v>14</v>
      </c>
      <c r="B3" t="s">
        <v>17</v>
      </c>
      <c r="C3" t="s">
        <v>18</v>
      </c>
    </row>
    <row r="4" spans="1:3" x14ac:dyDescent="0.3">
      <c r="A4" s="4" t="s">
        <v>6</v>
      </c>
      <c r="B4" s="2">
        <v>167684</v>
      </c>
      <c r="C4" s="2">
        <v>96524</v>
      </c>
    </row>
    <row r="5" spans="1:3" x14ac:dyDescent="0.3">
      <c r="A5" s="4" t="s">
        <v>7</v>
      </c>
      <c r="B5" s="2">
        <v>180067</v>
      </c>
      <c r="C5" s="2">
        <v>132932</v>
      </c>
    </row>
    <row r="6" spans="1:3" x14ac:dyDescent="0.3">
      <c r="A6" s="4" t="s">
        <v>8</v>
      </c>
      <c r="B6" s="2">
        <v>105431</v>
      </c>
      <c r="C6" s="2">
        <v>116187</v>
      </c>
    </row>
    <row r="7" spans="1:3" x14ac:dyDescent="0.3">
      <c r="A7" s="4" t="s">
        <v>9</v>
      </c>
      <c r="B7" s="2">
        <v>171035</v>
      </c>
      <c r="C7" s="2">
        <v>107298</v>
      </c>
    </row>
    <row r="8" spans="1:3" x14ac:dyDescent="0.3">
      <c r="A8" s="4" t="s">
        <v>10</v>
      </c>
      <c r="B8" s="2">
        <v>121645</v>
      </c>
      <c r="C8" s="2">
        <v>82274</v>
      </c>
    </row>
    <row r="9" spans="1:3" x14ac:dyDescent="0.3">
      <c r="A9" s="4" t="s">
        <v>13</v>
      </c>
      <c r="B9" s="2">
        <v>745862</v>
      </c>
      <c r="C9" s="2">
        <v>535215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120B-E8E9-4EF4-BFFA-295FB8B32283}">
  <dimension ref="A3:C9"/>
  <sheetViews>
    <sheetView workbookViewId="0">
      <selection activeCell="A3" sqref="A3:C9"/>
    </sheetView>
  </sheetViews>
  <sheetFormatPr defaultRowHeight="14.4" x14ac:dyDescent="0.3"/>
  <cols>
    <col min="1" max="1" width="12.5546875" bestFit="1" customWidth="1"/>
    <col min="2" max="2" width="25.21875" bestFit="1" customWidth="1"/>
    <col min="3" max="4" width="18.44140625" bestFit="1" customWidth="1"/>
  </cols>
  <sheetData>
    <row r="3" spans="1:3" x14ac:dyDescent="0.3">
      <c r="A3" s="3" t="s">
        <v>14</v>
      </c>
      <c r="B3" t="s">
        <v>20</v>
      </c>
      <c r="C3" t="s">
        <v>16</v>
      </c>
    </row>
    <row r="4" spans="1:3" x14ac:dyDescent="0.3">
      <c r="A4" s="4" t="s">
        <v>6</v>
      </c>
      <c r="B4" s="9">
        <v>1</v>
      </c>
      <c r="C4" s="9">
        <v>38</v>
      </c>
    </row>
    <row r="5" spans="1:3" x14ac:dyDescent="0.3">
      <c r="A5" s="4" t="s">
        <v>7</v>
      </c>
      <c r="B5" s="9">
        <v>1</v>
      </c>
      <c r="C5" s="9">
        <v>37</v>
      </c>
    </row>
    <row r="6" spans="1:3" x14ac:dyDescent="0.3">
      <c r="A6" s="4" t="s">
        <v>8</v>
      </c>
      <c r="B6" s="9">
        <v>1</v>
      </c>
      <c r="C6" s="9">
        <v>29</v>
      </c>
    </row>
    <row r="7" spans="1:3" x14ac:dyDescent="0.3">
      <c r="A7" s="4" t="s">
        <v>9</v>
      </c>
      <c r="B7" s="9">
        <v>1</v>
      </c>
      <c r="C7" s="9">
        <v>27</v>
      </c>
    </row>
    <row r="8" spans="1:3" x14ac:dyDescent="0.3">
      <c r="A8" s="4" t="s">
        <v>10</v>
      </c>
      <c r="B8" s="9">
        <v>1</v>
      </c>
      <c r="C8" s="9">
        <v>50</v>
      </c>
    </row>
    <row r="9" spans="1:3" x14ac:dyDescent="0.3">
      <c r="A9" s="4" t="s">
        <v>13</v>
      </c>
      <c r="B9" s="9">
        <v>5</v>
      </c>
      <c r="C9" s="9">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F3D0-9779-415A-9621-D24716F26840}">
  <dimension ref="A3:B9"/>
  <sheetViews>
    <sheetView workbookViewId="0">
      <selection activeCell="P7" sqref="P7"/>
    </sheetView>
  </sheetViews>
  <sheetFormatPr defaultRowHeight="14.4" x14ac:dyDescent="0.3"/>
  <cols>
    <col min="1" max="1" width="12.5546875" bestFit="1" customWidth="1"/>
    <col min="2" max="4" width="18.33203125" bestFit="1" customWidth="1"/>
  </cols>
  <sheetData>
    <row r="3" spans="1:2" x14ac:dyDescent="0.3">
      <c r="A3" s="3" t="s">
        <v>14</v>
      </c>
      <c r="B3" t="s">
        <v>21</v>
      </c>
    </row>
    <row r="4" spans="1:2" x14ac:dyDescent="0.3">
      <c r="A4" s="4" t="s">
        <v>6</v>
      </c>
      <c r="B4" s="9">
        <v>0.76</v>
      </c>
    </row>
    <row r="5" spans="1:2" x14ac:dyDescent="0.3">
      <c r="A5" s="4" t="s">
        <v>7</v>
      </c>
      <c r="B5" s="9">
        <v>0.74</v>
      </c>
    </row>
    <row r="6" spans="1:2" x14ac:dyDescent="0.3">
      <c r="A6" s="4" t="s">
        <v>8</v>
      </c>
      <c r="B6" s="9">
        <v>0.57999999999999996</v>
      </c>
    </row>
    <row r="7" spans="1:2" x14ac:dyDescent="0.3">
      <c r="A7" s="4" t="s">
        <v>9</v>
      </c>
      <c r="B7" s="9">
        <v>0.54</v>
      </c>
    </row>
    <row r="8" spans="1:2" x14ac:dyDescent="0.3">
      <c r="A8" s="4" t="s">
        <v>10</v>
      </c>
      <c r="B8" s="9">
        <v>1</v>
      </c>
    </row>
    <row r="9" spans="1:2" x14ac:dyDescent="0.3">
      <c r="A9" s="4" t="s">
        <v>13</v>
      </c>
      <c r="B9" s="9">
        <v>3.62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D31C4-CF8C-4AAC-830B-7FE07CC828F0}">
  <dimension ref="A1:R40"/>
  <sheetViews>
    <sheetView tabSelected="1" zoomScale="66" workbookViewId="0">
      <selection activeCell="P7" sqref="P7"/>
    </sheetView>
  </sheetViews>
  <sheetFormatPr defaultRowHeight="14.4" x14ac:dyDescent="0.3"/>
  <sheetData>
    <row r="1" spans="1:18" x14ac:dyDescent="0.3">
      <c r="A1" s="8"/>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row r="5" spans="1:18" x14ac:dyDescent="0.3">
      <c r="A5" s="8"/>
      <c r="B5" s="8"/>
      <c r="C5" s="8"/>
      <c r="D5" s="8"/>
      <c r="E5" s="8"/>
      <c r="F5" s="8"/>
      <c r="G5" s="8"/>
      <c r="H5" s="8"/>
      <c r="I5" s="8"/>
      <c r="J5" s="8"/>
      <c r="K5" s="8"/>
      <c r="L5" s="8"/>
      <c r="M5" s="8"/>
      <c r="N5" s="8"/>
      <c r="O5" s="8"/>
      <c r="P5" s="8"/>
      <c r="Q5" s="8"/>
      <c r="R5" s="8"/>
    </row>
    <row r="6" spans="1:18" x14ac:dyDescent="0.3">
      <c r="A6" s="8"/>
      <c r="B6" s="8"/>
      <c r="C6" s="8"/>
      <c r="D6" s="8"/>
      <c r="E6" s="8"/>
      <c r="F6" s="8"/>
      <c r="G6" s="8"/>
      <c r="H6" s="8"/>
      <c r="I6" s="8"/>
      <c r="J6" s="8"/>
      <c r="K6" s="8"/>
      <c r="L6" s="8"/>
      <c r="M6" s="8"/>
      <c r="N6" s="8"/>
      <c r="O6" s="8"/>
      <c r="P6" s="8"/>
      <c r="Q6" s="8"/>
      <c r="R6" s="8"/>
    </row>
    <row r="7" spans="1:18" x14ac:dyDescent="0.3">
      <c r="A7" s="8"/>
      <c r="B7" s="8"/>
      <c r="C7" s="8"/>
      <c r="D7" s="8"/>
      <c r="E7" s="8"/>
      <c r="F7" s="8"/>
      <c r="G7" s="8"/>
      <c r="H7" s="8"/>
      <c r="I7" s="8"/>
      <c r="J7" s="8"/>
      <c r="K7" s="8"/>
      <c r="L7" s="8"/>
      <c r="M7" s="8"/>
      <c r="N7" s="8"/>
      <c r="O7" s="8"/>
      <c r="P7" s="8"/>
      <c r="Q7" s="8"/>
      <c r="R7" s="8"/>
    </row>
    <row r="8" spans="1:18" x14ac:dyDescent="0.3">
      <c r="A8" s="8"/>
      <c r="B8" s="8"/>
      <c r="C8" s="8"/>
      <c r="D8" s="8"/>
      <c r="E8" s="8"/>
      <c r="F8" s="8"/>
      <c r="G8" s="8"/>
      <c r="H8" s="8"/>
      <c r="I8" s="8"/>
      <c r="J8" s="8"/>
      <c r="K8" s="8"/>
      <c r="L8" s="8"/>
      <c r="M8" s="8"/>
      <c r="N8" s="8"/>
      <c r="O8" s="8"/>
      <c r="P8" s="8"/>
      <c r="Q8" s="8"/>
      <c r="R8" s="8"/>
    </row>
    <row r="9" spans="1:18" x14ac:dyDescent="0.3">
      <c r="A9" s="8"/>
      <c r="B9" s="8"/>
      <c r="C9" s="8"/>
      <c r="D9" s="8"/>
      <c r="E9" s="8"/>
      <c r="F9" s="8"/>
      <c r="G9" s="8"/>
      <c r="H9" s="8"/>
      <c r="I9" s="8"/>
      <c r="J9" s="8"/>
      <c r="K9" s="8"/>
      <c r="L9" s="8"/>
      <c r="M9" s="8"/>
      <c r="N9" s="8"/>
      <c r="O9" s="8"/>
      <c r="P9" s="8"/>
      <c r="Q9" s="8"/>
      <c r="R9" s="8"/>
    </row>
    <row r="10" spans="1:18" x14ac:dyDescent="0.3">
      <c r="A10" s="8"/>
      <c r="B10" s="8"/>
      <c r="C10" s="8"/>
      <c r="D10" s="8"/>
      <c r="E10" s="8"/>
      <c r="F10" s="8"/>
      <c r="G10" s="8"/>
      <c r="H10" s="8"/>
      <c r="I10" s="8"/>
      <c r="J10" s="8"/>
      <c r="K10" s="8"/>
      <c r="L10" s="8"/>
      <c r="M10" s="8"/>
      <c r="N10" s="8"/>
      <c r="O10" s="8"/>
      <c r="P10" s="8"/>
      <c r="Q10" s="8"/>
      <c r="R10" s="8"/>
    </row>
    <row r="11" spans="1:18" x14ac:dyDescent="0.3">
      <c r="A11" s="8"/>
      <c r="B11" s="8"/>
      <c r="C11" s="8"/>
      <c r="D11" s="8"/>
      <c r="E11" s="8"/>
      <c r="F11" s="8"/>
      <c r="G11" s="8"/>
      <c r="H11" s="8"/>
      <c r="I11" s="8"/>
      <c r="J11" s="8"/>
      <c r="K11" s="8"/>
      <c r="L11" s="8"/>
      <c r="M11" s="8"/>
      <c r="N11" s="8"/>
      <c r="O11" s="8"/>
      <c r="P11" s="8"/>
      <c r="Q11" s="8"/>
      <c r="R11" s="8"/>
    </row>
    <row r="12" spans="1:18" x14ac:dyDescent="0.3">
      <c r="A12" s="8"/>
      <c r="B12" s="8"/>
      <c r="C12" s="8"/>
      <c r="D12" s="8"/>
      <c r="E12" s="8"/>
      <c r="F12" s="8"/>
      <c r="G12" s="8"/>
      <c r="H12" s="8"/>
      <c r="I12" s="8"/>
      <c r="J12" s="8"/>
      <c r="K12" s="8"/>
      <c r="L12" s="8"/>
      <c r="M12" s="8"/>
      <c r="N12" s="8"/>
      <c r="O12" s="8"/>
      <c r="P12" s="8"/>
      <c r="Q12" s="8"/>
      <c r="R12" s="8"/>
    </row>
    <row r="13" spans="1:18" x14ac:dyDescent="0.3">
      <c r="A13" s="8"/>
      <c r="B13" s="8"/>
      <c r="C13" s="8"/>
      <c r="D13" s="8"/>
      <c r="E13" s="8"/>
      <c r="F13" s="8"/>
      <c r="G13" s="8"/>
      <c r="H13" s="8"/>
      <c r="I13" s="8"/>
      <c r="J13" s="8"/>
      <c r="K13" s="8"/>
      <c r="L13" s="8"/>
      <c r="M13" s="8"/>
      <c r="N13" s="8"/>
      <c r="O13" s="8"/>
      <c r="P13" s="8"/>
      <c r="Q13" s="8"/>
      <c r="R13" s="8"/>
    </row>
    <row r="14" spans="1:18" x14ac:dyDescent="0.3">
      <c r="A14" s="8"/>
      <c r="B14" s="8"/>
      <c r="C14" s="8"/>
      <c r="D14" s="8"/>
      <c r="E14" s="8"/>
      <c r="F14" s="8"/>
      <c r="G14" s="8"/>
      <c r="H14" s="8"/>
      <c r="I14" s="8"/>
      <c r="J14" s="8"/>
      <c r="K14" s="8"/>
      <c r="L14" s="8"/>
      <c r="M14" s="8"/>
      <c r="N14" s="8"/>
      <c r="O14" s="8"/>
      <c r="P14" s="8"/>
      <c r="Q14" s="8"/>
      <c r="R14" s="8"/>
    </row>
    <row r="15" spans="1:18" x14ac:dyDescent="0.3">
      <c r="A15" s="8"/>
      <c r="B15" s="8"/>
      <c r="C15" s="8"/>
      <c r="D15" s="8"/>
      <c r="E15" s="8"/>
      <c r="F15" s="8"/>
      <c r="G15" s="8"/>
      <c r="H15" s="8"/>
      <c r="I15" s="8"/>
      <c r="J15" s="8"/>
      <c r="K15" s="8"/>
      <c r="L15" s="8"/>
      <c r="M15" s="8"/>
      <c r="N15" s="8"/>
      <c r="O15" s="8"/>
      <c r="P15" s="8"/>
      <c r="Q15" s="8"/>
      <c r="R15" s="8"/>
    </row>
    <row r="16" spans="1:18" x14ac:dyDescent="0.3">
      <c r="A16" s="8"/>
      <c r="B16" s="8"/>
      <c r="C16" s="8"/>
      <c r="D16" s="8"/>
      <c r="E16" s="8"/>
      <c r="F16" s="8"/>
      <c r="G16" s="8"/>
      <c r="H16" s="8"/>
      <c r="I16" s="8"/>
      <c r="J16" s="8"/>
      <c r="K16" s="8"/>
      <c r="L16" s="8"/>
      <c r="M16" s="8"/>
      <c r="N16" s="8"/>
      <c r="O16" s="8"/>
      <c r="P16" s="8"/>
      <c r="Q16" s="8"/>
      <c r="R16" s="8"/>
    </row>
    <row r="17" spans="1:18" x14ac:dyDescent="0.3">
      <c r="A17" s="8"/>
      <c r="B17" s="8"/>
      <c r="C17" s="8"/>
      <c r="D17" s="8"/>
      <c r="E17" s="8"/>
      <c r="F17" s="8"/>
      <c r="G17" s="8"/>
      <c r="H17" s="8"/>
      <c r="I17" s="8"/>
      <c r="J17" s="8"/>
      <c r="K17" s="8"/>
      <c r="L17" s="8"/>
      <c r="M17" s="8"/>
      <c r="N17" s="8"/>
      <c r="O17" s="8"/>
      <c r="P17" s="8"/>
      <c r="Q17" s="8"/>
      <c r="R17" s="8"/>
    </row>
    <row r="18" spans="1:18" x14ac:dyDescent="0.3">
      <c r="A18" s="8"/>
      <c r="B18" s="8"/>
      <c r="C18" s="8"/>
      <c r="D18" s="8"/>
      <c r="E18" s="8"/>
      <c r="F18" s="8"/>
      <c r="G18" s="8"/>
      <c r="H18" s="8"/>
      <c r="I18" s="8"/>
      <c r="J18" s="8"/>
      <c r="K18" s="8"/>
      <c r="L18" s="8"/>
      <c r="M18" s="8"/>
      <c r="N18" s="8"/>
      <c r="O18" s="8"/>
      <c r="P18" s="8"/>
      <c r="Q18" s="8"/>
      <c r="R18" s="8"/>
    </row>
    <row r="19" spans="1:18" x14ac:dyDescent="0.3">
      <c r="A19" s="8"/>
      <c r="B19" s="8"/>
      <c r="C19" s="8"/>
      <c r="D19" s="8"/>
      <c r="E19" s="8"/>
      <c r="F19" s="8"/>
      <c r="G19" s="8"/>
      <c r="H19" s="8"/>
      <c r="I19" s="8"/>
      <c r="J19" s="8"/>
      <c r="K19" s="8"/>
      <c r="L19" s="8"/>
      <c r="M19" s="8"/>
      <c r="N19" s="8"/>
      <c r="O19" s="8"/>
      <c r="P19" s="8"/>
      <c r="Q19" s="8"/>
      <c r="R19" s="8"/>
    </row>
    <row r="20" spans="1:18" x14ac:dyDescent="0.3">
      <c r="A20" s="8"/>
      <c r="B20" s="8"/>
      <c r="C20" s="8"/>
      <c r="D20" s="8"/>
      <c r="E20" s="8"/>
      <c r="F20" s="8"/>
      <c r="G20" s="8"/>
      <c r="H20" s="8"/>
      <c r="I20" s="8"/>
      <c r="J20" s="8"/>
      <c r="K20" s="8"/>
      <c r="L20" s="8"/>
      <c r="M20" s="8"/>
      <c r="N20" s="8"/>
      <c r="O20" s="8"/>
      <c r="P20" s="8"/>
      <c r="Q20" s="8"/>
      <c r="R20" s="8"/>
    </row>
    <row r="21" spans="1:18" x14ac:dyDescent="0.3">
      <c r="A21" s="8"/>
      <c r="B21" s="8"/>
      <c r="C21" s="8"/>
      <c r="D21" s="8"/>
      <c r="E21" s="8"/>
      <c r="F21" s="8"/>
      <c r="G21" s="8"/>
      <c r="H21" s="8"/>
      <c r="I21" s="8"/>
      <c r="J21" s="8"/>
      <c r="K21" s="8"/>
      <c r="L21" s="8"/>
      <c r="M21" s="8"/>
      <c r="N21" s="8"/>
      <c r="O21" s="8"/>
      <c r="P21" s="8"/>
      <c r="Q21" s="8"/>
      <c r="R21" s="8"/>
    </row>
    <row r="22" spans="1:18" x14ac:dyDescent="0.3">
      <c r="A22" s="8"/>
      <c r="B22" s="8"/>
      <c r="C22" s="8"/>
      <c r="D22" s="8"/>
      <c r="E22" s="8"/>
      <c r="F22" s="8"/>
      <c r="G22" s="8"/>
      <c r="H22" s="8"/>
      <c r="I22" s="8"/>
      <c r="J22" s="8"/>
      <c r="K22" s="8"/>
      <c r="L22" s="8"/>
      <c r="M22" s="8"/>
      <c r="N22" s="8"/>
      <c r="O22" s="8"/>
      <c r="P22" s="8"/>
      <c r="Q22" s="8"/>
      <c r="R22" s="8"/>
    </row>
    <row r="23" spans="1:18" x14ac:dyDescent="0.3">
      <c r="A23" s="8"/>
      <c r="B23" s="8"/>
      <c r="C23" s="8"/>
      <c r="D23" s="8"/>
      <c r="E23" s="8"/>
      <c r="F23" s="8"/>
      <c r="G23" s="8"/>
      <c r="H23" s="8"/>
      <c r="I23" s="8"/>
      <c r="J23" s="8"/>
      <c r="K23" s="8"/>
      <c r="L23" s="8"/>
      <c r="M23" s="8"/>
      <c r="N23" s="8"/>
      <c r="O23" s="8"/>
      <c r="P23" s="8"/>
      <c r="Q23" s="8"/>
      <c r="R23" s="8"/>
    </row>
    <row r="24" spans="1:18" x14ac:dyDescent="0.3">
      <c r="A24" s="8"/>
      <c r="B24" s="8"/>
      <c r="C24" s="8"/>
      <c r="D24" s="8"/>
      <c r="E24" s="8"/>
      <c r="F24" s="8"/>
      <c r="G24" s="8"/>
      <c r="H24" s="8"/>
      <c r="I24" s="8"/>
      <c r="J24" s="8"/>
      <c r="K24" s="8"/>
      <c r="L24" s="8"/>
      <c r="M24" s="8"/>
      <c r="N24" s="8"/>
      <c r="O24" s="8"/>
      <c r="P24" s="8"/>
      <c r="Q24" s="8"/>
      <c r="R24" s="8"/>
    </row>
    <row r="25" spans="1:18" x14ac:dyDescent="0.3">
      <c r="A25" s="8"/>
      <c r="B25" s="8"/>
      <c r="C25" s="8"/>
      <c r="D25" s="8"/>
      <c r="E25" s="8"/>
      <c r="F25" s="8"/>
      <c r="G25" s="8"/>
      <c r="H25" s="8"/>
      <c r="I25" s="8"/>
      <c r="J25" s="8"/>
      <c r="K25" s="8"/>
      <c r="L25" s="8"/>
      <c r="M25" s="8"/>
      <c r="N25" s="8"/>
      <c r="O25" s="8"/>
      <c r="P25" s="8"/>
      <c r="Q25" s="8"/>
      <c r="R25" s="8"/>
    </row>
    <row r="26" spans="1:18" x14ac:dyDescent="0.3">
      <c r="A26" s="8"/>
      <c r="B26" s="8"/>
      <c r="C26" s="8"/>
      <c r="D26" s="8"/>
      <c r="E26" s="8"/>
      <c r="F26" s="8"/>
      <c r="G26" s="8"/>
      <c r="H26" s="8"/>
      <c r="I26" s="8"/>
      <c r="J26" s="8"/>
      <c r="K26" s="8"/>
      <c r="L26" s="8"/>
      <c r="M26" s="8"/>
      <c r="N26" s="8"/>
      <c r="O26" s="8"/>
      <c r="P26" s="8"/>
      <c r="Q26" s="8"/>
      <c r="R26" s="8"/>
    </row>
    <row r="27" spans="1:18" x14ac:dyDescent="0.3">
      <c r="A27" s="8"/>
      <c r="B27" s="8"/>
      <c r="C27" s="8"/>
      <c r="D27" s="8"/>
      <c r="E27" s="8"/>
      <c r="F27" s="8"/>
      <c r="G27" s="8"/>
      <c r="H27" s="8"/>
      <c r="I27" s="8"/>
      <c r="J27" s="8"/>
      <c r="K27" s="8"/>
      <c r="L27" s="8"/>
      <c r="M27" s="8"/>
      <c r="N27" s="8"/>
      <c r="O27" s="8"/>
      <c r="P27" s="8"/>
      <c r="Q27" s="8"/>
      <c r="R27" s="8"/>
    </row>
    <row r="28" spans="1:18" x14ac:dyDescent="0.3">
      <c r="A28" s="8"/>
      <c r="B28" s="8"/>
      <c r="C28" s="8"/>
      <c r="D28" s="8"/>
      <c r="E28" s="8"/>
      <c r="F28" s="8"/>
      <c r="G28" s="8"/>
      <c r="H28" s="8"/>
      <c r="I28" s="8"/>
      <c r="J28" s="8"/>
      <c r="K28" s="8"/>
      <c r="L28" s="8"/>
      <c r="M28" s="8"/>
      <c r="N28" s="8"/>
      <c r="O28" s="8"/>
      <c r="P28" s="8"/>
      <c r="Q28" s="8"/>
      <c r="R28" s="8"/>
    </row>
    <row r="29" spans="1:18" x14ac:dyDescent="0.3">
      <c r="A29" s="8"/>
      <c r="B29" s="8"/>
      <c r="C29" s="8"/>
      <c r="D29" s="8"/>
      <c r="E29" s="8"/>
      <c r="F29" s="8"/>
      <c r="G29" s="8"/>
      <c r="H29" s="8"/>
      <c r="I29" s="8"/>
      <c r="J29" s="8"/>
      <c r="K29" s="8"/>
      <c r="L29" s="8"/>
      <c r="M29" s="8"/>
      <c r="N29" s="8"/>
      <c r="O29" s="8"/>
      <c r="P29" s="8"/>
      <c r="Q29" s="8"/>
      <c r="R29" s="8"/>
    </row>
    <row r="30" spans="1:18" x14ac:dyDescent="0.3">
      <c r="A30" s="8"/>
      <c r="B30" s="8"/>
      <c r="C30" s="8"/>
      <c r="D30" s="8"/>
      <c r="E30" s="8"/>
      <c r="F30" s="8"/>
      <c r="G30" s="8"/>
      <c r="H30" s="8"/>
      <c r="I30" s="8"/>
      <c r="J30" s="8"/>
      <c r="K30" s="8"/>
      <c r="L30" s="8"/>
      <c r="M30" s="8"/>
      <c r="N30" s="8"/>
      <c r="O30" s="8"/>
      <c r="P30" s="8"/>
      <c r="Q30" s="8"/>
      <c r="R30" s="8"/>
    </row>
    <row r="31" spans="1:18" x14ac:dyDescent="0.3">
      <c r="A31" s="8"/>
      <c r="B31" s="8"/>
      <c r="C31" s="8"/>
      <c r="D31" s="8"/>
      <c r="E31" s="8"/>
      <c r="F31" s="8"/>
      <c r="G31" s="8"/>
      <c r="H31" s="8"/>
      <c r="I31" s="8"/>
      <c r="J31" s="8"/>
      <c r="K31" s="8"/>
      <c r="L31" s="8"/>
      <c r="M31" s="8"/>
      <c r="N31" s="8"/>
      <c r="O31" s="8"/>
      <c r="P31" s="8"/>
      <c r="Q31" s="8"/>
      <c r="R31" s="8"/>
    </row>
    <row r="32" spans="1:18" x14ac:dyDescent="0.3">
      <c r="A32" s="8"/>
      <c r="B32" s="8"/>
      <c r="C32" s="8"/>
      <c r="D32" s="8"/>
      <c r="E32" s="8"/>
      <c r="F32" s="8"/>
      <c r="G32" s="8"/>
      <c r="H32" s="8"/>
      <c r="I32" s="8"/>
      <c r="J32" s="8"/>
      <c r="K32" s="8"/>
      <c r="L32" s="8"/>
      <c r="M32" s="8"/>
      <c r="N32" s="8"/>
      <c r="O32" s="8"/>
      <c r="P32" s="8"/>
      <c r="Q32" s="8"/>
      <c r="R32" s="8"/>
    </row>
    <row r="33" spans="1:18" x14ac:dyDescent="0.3">
      <c r="A33" s="8"/>
      <c r="B33" s="8"/>
      <c r="C33" s="8"/>
      <c r="D33" s="8"/>
      <c r="E33" s="8"/>
      <c r="F33" s="8"/>
      <c r="G33" s="8"/>
      <c r="H33" s="8"/>
      <c r="I33" s="8"/>
      <c r="J33" s="8"/>
      <c r="K33" s="8"/>
      <c r="L33" s="8"/>
      <c r="M33" s="8"/>
      <c r="N33" s="8"/>
      <c r="O33" s="8"/>
      <c r="P33" s="8"/>
      <c r="Q33" s="8"/>
      <c r="R33" s="8"/>
    </row>
    <row r="34" spans="1:18" x14ac:dyDescent="0.3">
      <c r="A34" s="8"/>
      <c r="B34" s="8"/>
      <c r="C34" s="8"/>
      <c r="D34" s="8"/>
      <c r="E34" s="8"/>
      <c r="F34" s="8"/>
      <c r="G34" s="8"/>
      <c r="H34" s="8"/>
      <c r="I34" s="8"/>
      <c r="J34" s="8"/>
      <c r="K34" s="8"/>
      <c r="L34" s="8"/>
      <c r="M34" s="8"/>
      <c r="N34" s="8"/>
      <c r="O34" s="8"/>
      <c r="P34" s="8"/>
      <c r="Q34" s="8"/>
      <c r="R34" s="8"/>
    </row>
    <row r="35" spans="1:18" x14ac:dyDescent="0.3">
      <c r="A35" s="8"/>
      <c r="B35" s="8"/>
      <c r="C35" s="8"/>
      <c r="D35" s="8"/>
      <c r="E35" s="8"/>
      <c r="F35" s="8"/>
      <c r="G35" s="8"/>
      <c r="H35" s="8"/>
      <c r="I35" s="8"/>
      <c r="J35" s="8"/>
      <c r="K35" s="8"/>
      <c r="L35" s="8"/>
      <c r="M35" s="8"/>
      <c r="N35" s="8"/>
      <c r="O35" s="8"/>
      <c r="P35" s="8"/>
      <c r="Q35" s="8"/>
      <c r="R35" s="8"/>
    </row>
    <row r="36" spans="1:18" x14ac:dyDescent="0.3">
      <c r="A36" s="8"/>
      <c r="B36" s="8"/>
      <c r="C36" s="8"/>
      <c r="D36" s="8"/>
      <c r="E36" s="8"/>
      <c r="F36" s="8"/>
      <c r="G36" s="8"/>
      <c r="H36" s="8"/>
      <c r="I36" s="8"/>
      <c r="J36" s="8"/>
      <c r="K36" s="8"/>
      <c r="L36" s="8"/>
      <c r="M36" s="8"/>
      <c r="N36" s="8"/>
      <c r="O36" s="8"/>
      <c r="P36" s="8"/>
      <c r="Q36" s="8"/>
      <c r="R36" s="8"/>
    </row>
    <row r="37" spans="1:18" x14ac:dyDescent="0.3">
      <c r="A37" s="8"/>
      <c r="B37" s="8"/>
      <c r="C37" s="8"/>
      <c r="D37" s="8"/>
      <c r="E37" s="8"/>
      <c r="F37" s="8"/>
      <c r="G37" s="8"/>
      <c r="H37" s="8"/>
      <c r="I37" s="8"/>
      <c r="J37" s="8"/>
      <c r="K37" s="8"/>
      <c r="L37" s="8"/>
      <c r="M37" s="8"/>
      <c r="N37" s="8"/>
      <c r="O37" s="8"/>
      <c r="P37" s="8"/>
      <c r="Q37" s="8"/>
      <c r="R37" s="8"/>
    </row>
    <row r="38" spans="1:18" x14ac:dyDescent="0.3">
      <c r="A38" s="8"/>
      <c r="B38" s="8"/>
      <c r="C38" s="8"/>
      <c r="D38" s="8"/>
      <c r="E38" s="8"/>
      <c r="F38" s="8"/>
      <c r="G38" s="8"/>
      <c r="H38" s="8"/>
      <c r="I38" s="8"/>
      <c r="J38" s="8"/>
      <c r="K38" s="8"/>
      <c r="L38" s="8"/>
      <c r="M38" s="8"/>
      <c r="N38" s="8"/>
      <c r="O38" s="8"/>
      <c r="P38" s="8"/>
      <c r="Q38" s="8"/>
      <c r="R38" s="8"/>
    </row>
    <row r="39" spans="1:18" x14ac:dyDescent="0.3">
      <c r="A39" s="8"/>
      <c r="B39" s="8"/>
      <c r="C39" s="8"/>
      <c r="D39" s="8"/>
      <c r="E39" s="8"/>
      <c r="F39" s="8"/>
      <c r="G39" s="8"/>
      <c r="H39" s="8"/>
      <c r="I39" s="8"/>
      <c r="J39" s="8"/>
      <c r="K39" s="8"/>
      <c r="L39" s="8"/>
      <c r="M39" s="8"/>
      <c r="N39" s="8"/>
      <c r="O39" s="8"/>
      <c r="P39" s="8"/>
      <c r="Q39" s="8"/>
      <c r="R39" s="8"/>
    </row>
    <row r="40" spans="1:18" x14ac:dyDescent="0.3">
      <c r="A40" s="8"/>
      <c r="B40" s="8"/>
      <c r="C40" s="8"/>
      <c r="D40" s="8"/>
      <c r="E40" s="8"/>
      <c r="F40" s="8"/>
      <c r="G40" s="8"/>
      <c r="H40" s="8"/>
      <c r="I40" s="8"/>
      <c r="J40" s="8"/>
      <c r="K40" s="8"/>
      <c r="L40" s="8"/>
      <c r="M40" s="8"/>
      <c r="N40" s="8"/>
      <c r="O40" s="8"/>
      <c r="P40" s="8"/>
      <c r="Q40" s="8"/>
      <c r="R4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sqref="A1:I6"/>
    </sheetView>
  </sheetViews>
  <sheetFormatPr defaultRowHeight="14.4" x14ac:dyDescent="0.3"/>
  <cols>
    <col min="1" max="1" width="14" bestFit="1" customWidth="1"/>
    <col min="2" max="2" width="17" bestFit="1" customWidth="1"/>
    <col min="3" max="3" width="22.109375" bestFit="1" customWidth="1"/>
    <col min="4" max="4" width="17.33203125" bestFit="1" customWidth="1"/>
    <col min="5" max="5" width="11.109375" bestFit="1" customWidth="1"/>
    <col min="6" max="6" width="15" bestFit="1" customWidth="1"/>
    <col min="7" max="7" width="13.33203125" bestFit="1" customWidth="1"/>
    <col min="8" max="8" width="13.21875" bestFit="1" customWidth="1"/>
    <col min="9" max="9" width="11.6640625" bestFit="1" customWidth="1"/>
  </cols>
  <sheetData>
    <row r="1" spans="1:9" x14ac:dyDescent="0.3">
      <c r="A1" s="5" t="s">
        <v>0</v>
      </c>
      <c r="B1" s="5" t="s">
        <v>1</v>
      </c>
      <c r="C1" s="5" t="s">
        <v>2</v>
      </c>
      <c r="D1" s="5" t="s">
        <v>3</v>
      </c>
      <c r="E1" s="5" t="s">
        <v>4</v>
      </c>
      <c r="F1" s="5" t="s">
        <v>5</v>
      </c>
      <c r="G1" s="5" t="s">
        <v>12</v>
      </c>
      <c r="H1" s="6" t="s">
        <v>11</v>
      </c>
      <c r="I1" s="7" t="s">
        <v>19</v>
      </c>
    </row>
    <row r="2" spans="1:9" x14ac:dyDescent="0.3">
      <c r="A2" t="s">
        <v>6</v>
      </c>
      <c r="B2" s="1">
        <v>167684</v>
      </c>
      <c r="C2" s="2">
        <v>96524</v>
      </c>
      <c r="D2">
        <v>6</v>
      </c>
      <c r="E2" s="2">
        <v>47036</v>
      </c>
      <c r="F2">
        <v>278</v>
      </c>
      <c r="G2">
        <v>38</v>
      </c>
      <c r="H2">
        <v>50</v>
      </c>
      <c r="I2">
        <f>G2/H2</f>
        <v>0.76</v>
      </c>
    </row>
    <row r="3" spans="1:9" x14ac:dyDescent="0.3">
      <c r="A3" t="s">
        <v>7</v>
      </c>
      <c r="B3" s="1">
        <v>180067</v>
      </c>
      <c r="C3" s="2">
        <v>132932</v>
      </c>
      <c r="D3">
        <v>3</v>
      </c>
      <c r="E3" s="2">
        <v>42541</v>
      </c>
      <c r="F3">
        <v>164</v>
      </c>
      <c r="G3">
        <v>37</v>
      </c>
      <c r="H3">
        <v>50</v>
      </c>
      <c r="I3">
        <f t="shared" ref="I3:I6" si="0">G3/H3</f>
        <v>0.74</v>
      </c>
    </row>
    <row r="4" spans="1:9" x14ac:dyDescent="0.3">
      <c r="A4" t="s">
        <v>8</v>
      </c>
      <c r="B4" s="1">
        <v>105431</v>
      </c>
      <c r="C4" s="2">
        <v>116187</v>
      </c>
      <c r="D4">
        <v>10</v>
      </c>
      <c r="E4" s="2">
        <v>43087</v>
      </c>
      <c r="F4">
        <v>181</v>
      </c>
      <c r="G4">
        <v>29</v>
      </c>
      <c r="H4">
        <v>50</v>
      </c>
      <c r="I4">
        <f t="shared" si="0"/>
        <v>0.57999999999999996</v>
      </c>
    </row>
    <row r="5" spans="1:9" x14ac:dyDescent="0.3">
      <c r="A5" t="s">
        <v>9</v>
      </c>
      <c r="B5" s="1">
        <v>171035</v>
      </c>
      <c r="C5" s="2">
        <v>107298</v>
      </c>
      <c r="D5">
        <v>6</v>
      </c>
      <c r="E5" s="2">
        <v>46504</v>
      </c>
      <c r="F5">
        <v>285</v>
      </c>
      <c r="G5">
        <v>27</v>
      </c>
      <c r="H5">
        <v>50</v>
      </c>
      <c r="I5">
        <f t="shared" si="0"/>
        <v>0.54</v>
      </c>
    </row>
    <row r="6" spans="1:9" x14ac:dyDescent="0.3">
      <c r="A6" t="s">
        <v>10</v>
      </c>
      <c r="B6" s="1">
        <v>121645</v>
      </c>
      <c r="C6" s="2">
        <v>82274</v>
      </c>
      <c r="D6">
        <v>7</v>
      </c>
      <c r="E6" s="2">
        <v>60994</v>
      </c>
      <c r="F6">
        <v>201</v>
      </c>
      <c r="G6">
        <v>50</v>
      </c>
      <c r="H6">
        <v>50</v>
      </c>
      <c r="I6">
        <f t="shared" si="0"/>
        <v>1</v>
      </c>
    </row>
    <row r="7" spans="1:9" x14ac:dyDescent="0.3">
      <c r="B7" s="1"/>
      <c r="C7" s="2"/>
      <c r="E7" s="2"/>
    </row>
    <row r="8" spans="1:9" x14ac:dyDescent="0.3">
      <c r="B8" s="1"/>
      <c r="C8" s="2"/>
      <c r="E8" s="2"/>
    </row>
    <row r="9" spans="1:9" x14ac:dyDescent="0.3">
      <c r="B9" s="1"/>
      <c r="C9" s="2"/>
      <c r="E9" s="2"/>
    </row>
    <row r="10" spans="1:9" x14ac:dyDescent="0.3">
      <c r="B10" s="1"/>
      <c r="C10" s="2"/>
      <c r="E10" s="2"/>
    </row>
    <row r="11" spans="1:9" x14ac:dyDescent="0.3">
      <c r="B11" s="1"/>
      <c r="C11" s="2"/>
      <c r="E11" s="2"/>
    </row>
    <row r="12" spans="1:9" x14ac:dyDescent="0.3">
      <c r="B12" s="1"/>
      <c r="C12" s="2"/>
      <c r="E12" s="2"/>
    </row>
    <row r="13" spans="1:9" x14ac:dyDescent="0.3">
      <c r="B13" s="1"/>
      <c r="C13" s="2"/>
      <c r="E13" s="2"/>
    </row>
    <row r="14" spans="1:9" x14ac:dyDescent="0.3">
      <c r="B14" s="1"/>
      <c r="C14" s="2"/>
      <c r="E14" s="2"/>
    </row>
    <row r="15" spans="1:9" x14ac:dyDescent="0.3">
      <c r="B15" s="1"/>
      <c r="C15" s="2"/>
      <c r="E15" s="2"/>
    </row>
    <row r="16" spans="1:9" x14ac:dyDescent="0.3">
      <c r="B16" s="1"/>
      <c r="C16" s="2"/>
      <c r="E16" s="2"/>
    </row>
    <row r="17" spans="2:5" x14ac:dyDescent="0.3">
      <c r="B17" s="1"/>
      <c r="C17" s="2"/>
      <c r="E17" s="2"/>
    </row>
    <row r="18" spans="2:5" x14ac:dyDescent="0.3">
      <c r="B18" s="1"/>
      <c r="C18" s="2"/>
      <c r="E18" s="2"/>
    </row>
    <row r="19" spans="2:5" x14ac:dyDescent="0.3">
      <c r="B19" s="1"/>
      <c r="C19" s="2"/>
      <c r="E19" s="2"/>
    </row>
    <row r="20" spans="2:5" x14ac:dyDescent="0.3">
      <c r="B20" s="1"/>
      <c r="C20" s="2"/>
      <c r="E20" s="2"/>
    </row>
    <row r="21" spans="2:5" x14ac:dyDescent="0.3">
      <c r="B21" s="1"/>
      <c r="C21" s="2"/>
      <c r="E21" s="2"/>
    </row>
    <row r="22" spans="2:5" x14ac:dyDescent="0.3">
      <c r="B22" s="1"/>
      <c r="C22" s="2"/>
      <c r="E22" s="2"/>
    </row>
    <row r="23" spans="2:5" x14ac:dyDescent="0.3">
      <c r="B23" s="1"/>
      <c r="C23" s="2"/>
      <c r="E23" s="2"/>
    </row>
    <row r="24" spans="2:5" x14ac:dyDescent="0.3">
      <c r="B24" s="1"/>
      <c r="C24" s="2"/>
      <c r="E24" s="2"/>
    </row>
    <row r="25" spans="2:5" x14ac:dyDescent="0.3">
      <c r="B25" s="1"/>
      <c r="C25" s="2"/>
      <c r="E25" s="2"/>
    </row>
    <row r="26" spans="2:5" x14ac:dyDescent="0.3">
      <c r="B26" s="1"/>
      <c r="C26" s="2"/>
      <c r="E26" s="2"/>
    </row>
    <row r="27" spans="2:5" x14ac:dyDescent="0.3">
      <c r="B27" s="1"/>
      <c r="C27" s="2"/>
      <c r="E27" s="2"/>
    </row>
    <row r="28" spans="2:5" x14ac:dyDescent="0.3">
      <c r="B28" s="1"/>
      <c r="C28" s="2"/>
      <c r="E28" s="2"/>
    </row>
    <row r="29" spans="2:5" x14ac:dyDescent="0.3">
      <c r="B29" s="1"/>
      <c r="C29" s="2"/>
      <c r="E29" s="2"/>
    </row>
    <row r="30" spans="2:5" x14ac:dyDescent="0.3">
      <c r="B30" s="1"/>
      <c r="C30" s="2"/>
      <c r="E30" s="2"/>
    </row>
    <row r="31" spans="2:5" x14ac:dyDescent="0.3">
      <c r="B31" s="1"/>
      <c r="C31" s="2"/>
      <c r="E31" s="2"/>
    </row>
    <row r="32" spans="2:5" x14ac:dyDescent="0.3">
      <c r="B32" s="1"/>
      <c r="C32" s="2"/>
      <c r="E32" s="2"/>
    </row>
    <row r="33" spans="2:5" x14ac:dyDescent="0.3">
      <c r="B33" s="1"/>
      <c r="C33" s="2"/>
      <c r="E33" s="2"/>
    </row>
    <row r="34" spans="2:5" x14ac:dyDescent="0.3">
      <c r="B34" s="1"/>
      <c r="C34" s="2"/>
      <c r="E34" s="2"/>
    </row>
    <row r="35" spans="2:5" x14ac:dyDescent="0.3">
      <c r="B35" s="1"/>
      <c r="C35" s="2"/>
      <c r="E35" s="2"/>
    </row>
    <row r="36" spans="2:5" x14ac:dyDescent="0.3">
      <c r="B36" s="1"/>
      <c r="C36" s="2"/>
      <c r="E36" s="2"/>
    </row>
    <row r="37" spans="2:5" x14ac:dyDescent="0.3">
      <c r="B37" s="1"/>
      <c r="C37" s="2"/>
      <c r="E37" s="2"/>
    </row>
    <row r="38" spans="2:5" x14ac:dyDescent="0.3">
      <c r="B38" s="1"/>
      <c r="C38" s="2"/>
      <c r="E38" s="2"/>
    </row>
    <row r="39" spans="2:5" x14ac:dyDescent="0.3">
      <c r="B39" s="1"/>
      <c r="C39" s="2"/>
      <c r="E39" s="2"/>
    </row>
    <row r="40" spans="2:5" x14ac:dyDescent="0.3">
      <c r="B40" s="1"/>
      <c r="C40" s="2"/>
      <c r="E40" s="2"/>
    </row>
    <row r="41" spans="2:5" x14ac:dyDescent="0.3">
      <c r="B41" s="1"/>
      <c r="C41" s="2"/>
      <c r="E41" s="2"/>
    </row>
    <row r="42" spans="2:5" x14ac:dyDescent="0.3">
      <c r="B42" s="1"/>
      <c r="C42" s="2"/>
      <c r="E42" s="2"/>
    </row>
    <row r="43" spans="2:5" x14ac:dyDescent="0.3">
      <c r="B43" s="1"/>
      <c r="C43" s="2"/>
      <c r="E43" s="2"/>
    </row>
    <row r="44" spans="2:5" x14ac:dyDescent="0.3">
      <c r="B44" s="1"/>
      <c r="C44" s="2"/>
      <c r="E44" s="2"/>
    </row>
    <row r="45" spans="2:5" x14ac:dyDescent="0.3">
      <c r="B45" s="1"/>
      <c r="C45" s="2"/>
      <c r="E45" s="2"/>
    </row>
    <row r="46" spans="2:5" x14ac:dyDescent="0.3">
      <c r="B46" s="1"/>
      <c r="C46" s="2"/>
      <c r="E46" s="2"/>
    </row>
    <row r="47" spans="2:5" x14ac:dyDescent="0.3">
      <c r="B47" s="1"/>
      <c r="C47" s="2"/>
      <c r="E47" s="2"/>
    </row>
    <row r="48" spans="2:5" x14ac:dyDescent="0.3">
      <c r="B48" s="1"/>
      <c r="C48" s="2"/>
      <c r="E48" s="2"/>
    </row>
    <row r="49" spans="2:5" x14ac:dyDescent="0.3">
      <c r="B49" s="1"/>
      <c r="C49" s="2"/>
      <c r="E49" s="2"/>
    </row>
    <row r="50" spans="2:5" x14ac:dyDescent="0.3">
      <c r="B50" s="1"/>
      <c r="C50" s="2"/>
      <c r="E50" s="2"/>
    </row>
    <row r="51" spans="2:5" x14ac:dyDescent="0.3">
      <c r="B51" s="1"/>
      <c r="C51" s="2"/>
      <c r="E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Profit</vt:lpstr>
      <vt:lpstr>Avg Profit </vt:lpstr>
      <vt:lpstr>Avg Camp</vt:lpstr>
      <vt:lpstr>Overall Success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dc:creator>
  <cp:lastModifiedBy>Paul Lucas</cp:lastModifiedBy>
  <dcterms:created xsi:type="dcterms:W3CDTF">2024-12-18T12:03:45Z</dcterms:created>
  <dcterms:modified xsi:type="dcterms:W3CDTF">2025-12-15T16:03:56Z</dcterms:modified>
</cp:coreProperties>
</file>